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V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80808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H (period hours)</t>
        </is>
      </c>
      <c r="B1" t="n">
        <v>5</v>
      </c>
      <c r="D1" s="2" t="inlineStr">
        <is>
          <t>Clean QVDF reference (mirrors kernel Link_QueueVDF). Inputs=blue, outputs=green, kernel check=orange.</t>
        </is>
      </c>
    </row>
    <row r="3" ht="42" customHeight="1">
      <c r="A3" s="3" t="inlineStr">
        <is>
          <t>link_id</t>
        </is>
      </c>
      <c r="B3" s="3" t="inlineStr">
        <is>
          <t>lanes</t>
        </is>
      </c>
      <c r="C3" s="3" t="inlineStr">
        <is>
          <t>capacity (per lane)</t>
        </is>
      </c>
      <c r="D3" s="3" t="inlineStr">
        <is>
          <t>free_speed_mph</t>
        </is>
      </c>
      <c r="E3" s="3" t="inlineStr">
        <is>
          <t>cutoff_speed</t>
        </is>
      </c>
      <c r="F3" s="3" t="inlineStr">
        <is>
          <t>length_mi</t>
        </is>
      </c>
      <c r="G3" s="3" t="inlineStr">
        <is>
          <t>alpha</t>
        </is>
      </c>
      <c r="H3" s="3" t="inlineStr">
        <is>
          <t>beta</t>
        </is>
      </c>
      <c r="I3" s="3" t="inlineStr">
        <is>
          <t>plf</t>
        </is>
      </c>
      <c r="J3" s="3" t="inlineStr">
        <is>
          <t>cp</t>
        </is>
      </c>
      <c r="K3" s="3" t="inlineStr">
        <is>
          <t>cd</t>
        </is>
      </c>
      <c r="L3" s="3" t="inlineStr">
        <is>
          <t>n</t>
        </is>
      </c>
      <c r="M3" s="3" t="inlineStr">
        <is>
          <t>s</t>
        </is>
      </c>
      <c r="N3" s="3" t="inlineStr">
        <is>
          <t>volume</t>
        </is>
      </c>
      <c r="O3" s="3" t="inlineStr">
        <is>
          <t>D = vol/lanes/H/plf</t>
        </is>
      </c>
      <c r="P3" s="3" t="inlineStr">
        <is>
          <t>doc = D/cap</t>
        </is>
      </c>
      <c r="Q3" s="3" t="inlineStr">
        <is>
          <t>cong_ref</t>
        </is>
      </c>
      <c r="R3" s="3" t="inlineStr">
        <is>
          <t>avg_queue_speed</t>
        </is>
      </c>
      <c r="S3" s="3" t="inlineStr">
        <is>
          <t>P = cd*doc^n</t>
        </is>
      </c>
      <c r="T3" s="3" t="inlineStr">
        <is>
          <t>period_speed</t>
        </is>
      </c>
      <c r="U3" s="3" t="inlineStr">
        <is>
          <t>qvdf_tt_min</t>
        </is>
      </c>
      <c r="V3" s="3" t="inlineStr">
        <is>
          <t>vt2</t>
        </is>
      </c>
      <c r="W3" s="3" t="inlineStr">
        <is>
          <t>mu</t>
        </is>
      </c>
      <c r="X3" s="3" t="inlineStr">
        <is>
          <t>gamma</t>
        </is>
      </c>
      <c r="Y3" s="3" t="inlineStr">
        <is>
          <t>kernel speed_mph</t>
        </is>
      </c>
      <c r="Z3" s="3" t="inlineStr">
        <is>
          <t>speed diff</t>
        </is>
      </c>
    </row>
    <row r="4">
      <c r="A4" s="4" t="n">
        <v>139</v>
      </c>
      <c r="B4" s="4" t="n">
        <v>1</v>
      </c>
      <c r="C4" s="4" t="n">
        <v>1750</v>
      </c>
      <c r="D4" s="4" t="n">
        <v>70</v>
      </c>
      <c r="E4" s="4" t="n">
        <v>49</v>
      </c>
      <c r="F4" s="4" t="n">
        <v>1.11</v>
      </c>
      <c r="G4" s="4" t="n">
        <v>0.801025167</v>
      </c>
      <c r="H4" s="4" t="n">
        <v>0.255330084</v>
      </c>
      <c r="I4" s="4" t="n">
        <v>0.210202885</v>
      </c>
      <c r="J4" s="4" t="n">
        <v>0.451</v>
      </c>
      <c r="K4" s="4" t="n">
        <v>3.330204408</v>
      </c>
      <c r="L4" s="4" t="n">
        <v>0.257129994</v>
      </c>
      <c r="M4" s="4" t="n">
        <v>0.993</v>
      </c>
      <c r="N4" s="4" t="n">
        <v>6108.4978</v>
      </c>
      <c r="O4" s="5">
        <f>N4/MAX(0.01,B4)/MAX(0.001,$B$1)/MAX(0.0001,I4)</f>
        <v/>
      </c>
      <c r="P4" s="5">
        <f>O4/MAX(0.1,C4)</f>
        <v/>
      </c>
      <c r="Q4" s="5">
        <f>IF(P4&gt;=1,E4,(1-P4)*D4+P4*E4)</f>
        <v/>
      </c>
      <c r="R4" s="5">
        <f>Q4/(1+G4*P4^H4)</f>
        <v/>
      </c>
      <c r="S4" s="5">
        <f>K4*P4^L4</f>
        <v/>
      </c>
      <c r="T4" s="5">
        <f>IF(S4&gt;$B$1,R4,S4/$B$1*R4+(1-S4/$B$1)*(Q4+D4)/2)</f>
        <v/>
      </c>
      <c r="U4" s="5">
        <f>F4/MAX(0.1,T4)*60</f>
        <v/>
      </c>
      <c r="V4" s="5">
        <f>E4/MAX(0.001,J4*S4^M4+1)</f>
        <v/>
      </c>
      <c r="W4" s="5">
        <f>MIN(C4,O4/MAX(0.01,S4))</f>
        <v/>
      </c>
      <c r="X4" s="5">
        <f>(F4/V4-F4/MAX(0.01,Q4))*64*W4/S4^4</f>
        <v/>
      </c>
      <c r="Y4" s="6" t="n">
        <v>26.8206</v>
      </c>
      <c r="Z4" s="6">
        <f>T4-Y4</f>
        <v/>
      </c>
    </row>
    <row r="5">
      <c r="A5" s="4" t="n">
        <v>84</v>
      </c>
      <c r="B5" s="4" t="n">
        <v>1</v>
      </c>
      <c r="C5" s="4" t="n">
        <v>1750</v>
      </c>
      <c r="D5" s="4" t="n">
        <v>70</v>
      </c>
      <c r="E5" s="4" t="n">
        <v>49</v>
      </c>
      <c r="F5" s="4" t="n">
        <v>1.14</v>
      </c>
      <c r="G5" s="4" t="n">
        <v>0.801025167</v>
      </c>
      <c r="H5" s="4" t="n">
        <v>0.255330084</v>
      </c>
      <c r="I5" s="4" t="n">
        <v>0.226117896</v>
      </c>
      <c r="J5" s="4" t="n">
        <v>0.451</v>
      </c>
      <c r="K5" s="4" t="n">
        <v>3.330204408</v>
      </c>
      <c r="L5" s="4" t="n">
        <v>0.257129994</v>
      </c>
      <c r="M5" s="4" t="n">
        <v>0.451</v>
      </c>
      <c r="N5" s="4" t="n">
        <v>6550.0611</v>
      </c>
      <c r="O5" s="5">
        <f>N5/MAX(0.01,B5)/MAX(0.001,$B$1)/MAX(0.0001,I5)</f>
        <v/>
      </c>
      <c r="P5" s="5">
        <f>O5/MAX(0.1,C5)</f>
        <v/>
      </c>
      <c r="Q5" s="5">
        <f>IF(P5&gt;=1,E5,(1-P5)*D5+P5*E5)</f>
        <v/>
      </c>
      <c r="R5" s="5">
        <f>Q5/(1+G5*P5^H5)</f>
        <v/>
      </c>
      <c r="S5" s="5">
        <f>K5*P5^L5</f>
        <v/>
      </c>
      <c r="T5" s="5">
        <f>IF(S5&gt;$B$1,R5,S5/$B$1*R5+(1-S5/$B$1)*(Q5+D5)/2)</f>
        <v/>
      </c>
      <c r="U5" s="5">
        <f>F5/MAX(0.1,T5)*60</f>
        <v/>
      </c>
      <c r="V5" s="5">
        <f>E5/MAX(0.001,J5*S5^M5+1)</f>
        <v/>
      </c>
      <c r="W5" s="5">
        <f>MIN(C5,O5/MAX(0.01,S5))</f>
        <v/>
      </c>
      <c r="X5" s="5">
        <f>(F5/V5-F5/MAX(0.01,Q5))*64*W5/S5^4</f>
        <v/>
      </c>
      <c r="Y5" s="6" t="n">
        <v>26.8564</v>
      </c>
      <c r="Z5" s="6">
        <f>T5-Y5</f>
        <v/>
      </c>
    </row>
    <row r="6">
      <c r="A6" s="4" t="n">
        <v>78</v>
      </c>
      <c r="B6" s="4" t="n">
        <v>1</v>
      </c>
      <c r="C6" s="4" t="n">
        <v>1750</v>
      </c>
      <c r="D6" s="4" t="n">
        <v>70</v>
      </c>
      <c r="E6" s="4" t="n">
        <v>49</v>
      </c>
      <c r="F6" s="4" t="n">
        <v>1.04</v>
      </c>
      <c r="G6" s="4" t="n">
        <v>0.801025167</v>
      </c>
      <c r="H6" s="4" t="n">
        <v>0.255330084</v>
      </c>
      <c r="I6" s="4" t="n">
        <v>0.274905968</v>
      </c>
      <c r="J6" s="4" t="n">
        <v>0.451</v>
      </c>
      <c r="K6" s="4" t="n">
        <v>3.330204408</v>
      </c>
      <c r="L6" s="4" t="n">
        <v>0.257129994</v>
      </c>
      <c r="M6" s="4" t="n">
        <v>0.451</v>
      </c>
      <c r="N6" s="4" t="n">
        <v>5311.346</v>
      </c>
      <c r="O6" s="5">
        <f>N6/MAX(0.01,B6)/MAX(0.001,$B$1)/MAX(0.0001,I6)</f>
        <v/>
      </c>
      <c r="P6" s="5">
        <f>O6/MAX(0.1,C6)</f>
        <v/>
      </c>
      <c r="Q6" s="5">
        <f>IF(P6&gt;=1,E6,(1-P6)*D6+P6*E6)</f>
        <v/>
      </c>
      <c r="R6" s="5">
        <f>Q6/(1+G6*P6^H6)</f>
        <v/>
      </c>
      <c r="S6" s="5">
        <f>K6*P6^L6</f>
        <v/>
      </c>
      <c r="T6" s="5">
        <f>IF(S6&gt;$B$1,R6,S6/$B$1*R6+(1-S6/$B$1)*(Q6+D6)/2)</f>
        <v/>
      </c>
      <c r="U6" s="5">
        <f>F6/MAX(0.1,T6)*60</f>
        <v/>
      </c>
      <c r="V6" s="5">
        <f>E6/MAX(0.001,J6*S6^M6+1)</f>
        <v/>
      </c>
      <c r="W6" s="5">
        <f>MIN(C6,O6/MAX(0.01,S6))</f>
        <v/>
      </c>
      <c r="X6" s="5">
        <f>(F6/V6-F6/MAX(0.01,Q6))*64*W6/S6^4</f>
        <v/>
      </c>
      <c r="Y6" s="6" t="n">
        <v>31.1186</v>
      </c>
      <c r="Z6" s="6">
        <f>T6-Y6</f>
        <v/>
      </c>
    </row>
    <row r="7">
      <c r="A7" s="4" t="n">
        <v>137</v>
      </c>
      <c r="B7" s="4" t="n">
        <v>1</v>
      </c>
      <c r="C7" s="4" t="n">
        <v>1750</v>
      </c>
      <c r="D7" s="4" t="n">
        <v>70</v>
      </c>
      <c r="E7" s="4" t="n">
        <v>49</v>
      </c>
      <c r="F7" s="4" t="n">
        <v>1.3</v>
      </c>
      <c r="G7" s="4" t="n">
        <v>0.801025167</v>
      </c>
      <c r="H7" s="4" t="n">
        <v>0.255330084</v>
      </c>
      <c r="I7" s="4" t="n">
        <v>0.258797222</v>
      </c>
      <c r="J7" s="4" t="n">
        <v>0.451</v>
      </c>
      <c r="K7" s="4" t="n">
        <v>3.330204408</v>
      </c>
      <c r="L7" s="4" t="n">
        <v>0.257129994</v>
      </c>
      <c r="M7" s="4" t="n">
        <v>0.451</v>
      </c>
      <c r="N7" s="4" t="n">
        <v>4336.6784</v>
      </c>
      <c r="O7" s="5">
        <f>N7/MAX(0.01,B7)/MAX(0.001,$B$1)/MAX(0.0001,I7)</f>
        <v/>
      </c>
      <c r="P7" s="5">
        <f>O7/MAX(0.1,C7)</f>
        <v/>
      </c>
      <c r="Q7" s="5">
        <f>IF(P7&gt;=1,E7,(1-P7)*D7+P7*E7)</f>
        <v/>
      </c>
      <c r="R7" s="5">
        <f>Q7/(1+G7*P7^H7)</f>
        <v/>
      </c>
      <c r="S7" s="5">
        <f>K7*P7^L7</f>
        <v/>
      </c>
      <c r="T7" s="5">
        <f>IF(S7&gt;$B$1,R7,S7/$B$1*R7+(1-S7/$B$1)*(Q7+D7)/2)</f>
        <v/>
      </c>
      <c r="U7" s="5">
        <f>F7/MAX(0.1,T7)*60</f>
        <v/>
      </c>
      <c r="V7" s="5">
        <f>E7/MAX(0.001,J7*S7^M7+1)</f>
        <v/>
      </c>
      <c r="W7" s="5">
        <f>MIN(C7,O7/MAX(0.01,S7))</f>
        <v/>
      </c>
      <c r="X7" s="5">
        <f>(F7/V7-F7/MAX(0.01,Q7))*64*W7/S7^4</f>
        <v/>
      </c>
      <c r="Y7" s="6" t="n">
        <v>32.489</v>
      </c>
      <c r="Z7" s="6">
        <f>T7-Y7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2026-06-18T19:15:50Z</dcterms:created>
  <dcterms:modified xmlns:dcterms="http://purl.org/dc/terms/" xmlns:xsi="http://www.w3.org/2001/XMLSchema-instance" xsi:type="dcterms:W3CDTF">2026-06-18T19:15:50Z</dcterms:modified>
</cp:coreProperties>
</file>